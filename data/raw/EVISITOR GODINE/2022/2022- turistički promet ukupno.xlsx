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<sst xmlns="http://schemas.openxmlformats.org/spreadsheetml/2006/main" uniqueCount="22">
  <si>
    <t>Vrsta turista</t>
  </si>
  <si>
    <t>Dolasci</t>
  </si>
  <si>
    <t>Noćenja</t>
  </si>
  <si>
    <t>Broj turista</t>
  </si>
  <si>
    <t>Prosječno trajanje boravka (u danima)</t>
  </si>
  <si>
    <t>Udio dolasci</t>
  </si>
  <si>
    <t>Udio noćenja</t>
  </si>
  <si>
    <t>Udio broj turista</t>
  </si>
  <si>
    <t>Domaći</t>
  </si>
  <si>
    <t>Strani</t>
  </si>
  <si>
    <t>Ukupno:</t>
  </si>
  <si>
    <t>Naziv izvještaja: Dolasci i noćenja turista</t>
  </si>
  <si>
    <t>Izvještaj izradio: knin.knin2</t>
  </si>
  <si>
    <t>Vrijeme ažurnosti podataka: 29.9.2026. 0:32</t>
  </si>
  <si>
    <t>Vrijeme izrade: 29.9.2026. 12:24</t>
  </si>
  <si>
    <t>Parametri izvještaja</t>
  </si>
  <si>
    <t>Datum: Od datuma = 1.1.2022.; Do datuma = 31.12.2022.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</si>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</sst>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4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4" fontId="0" fillId="2" borderId="0" xfId="0" applyNumberFormat="1"/>
    <xf xxid="23" numFmtId="10" fontId="0" fillId="2" borderId="0" xfId="0" applyNumberFormat="1"/>
    <xf xxid="25" numFmtId="0" fontId="7" fillId="2" borderId="0" xfId="0" applyFont="1"/>
    <xf xxid="26" numFmtId="3" fontId="7" fillId="2" borderId="0" xfId="0" applyFont="1" applyNumberFormat="1"/>
    <xf xxid="27" numFmtId="4" fontId="7" fillId="2" borderId="0" xfId="0" applyFont="1" applyNumberFormat="1"/>
    <xf xxid="28" numFmtId="10" fontId="7" fillId="2" borderId="0" xfId="0" applyFont="1" applyNumberFormat="1"/>
    <xf xxid="29" numFmtId="0" fontId="7" fillId="2" borderId="0" xfId="0" applyAlignment="1" applyFont="1">
      <alignment vertical="center"/>
    </xf>
    <xf xxid="30" numFmtId="3" fontId="7" fillId="2" borderId="0" xfId="0" applyAlignment="1" applyFont="1" applyNumberFormat="1">
      <alignment vertical="center"/>
    </xf>
    <xf xxid="31" numFmtId="4" fontId="7" fillId="2" borderId="0" xfId="0" applyAlignment="1" applyFont="1" applyNumberFormat="1">
      <alignment vertical="center"/>
    </xf>
    <xf xxid="32" numFmtId="10" fontId="7" fillId="2" borderId="0" xfId="0" applyAlignment="1" applyFont="1" applyNumberFormat="1">
      <alignment vertical="center"/>
    </xf>
    <xf xxid="33" numFmtId="0" fontId="7" fillId="2" borderId="0" xfId="0" applyAlignment="1" applyFont="1">
      <alignment horizontal="center" vertical="center"/>
    </xf>
    <xf xxid="34" numFmtId="3" fontId="7" fillId="2" borderId="0" xfId="0" applyAlignment="1" applyFont="1" applyNumberFormat="1">
      <alignment horizontal="center" vertical="center"/>
    </xf>
    <xf xxid="35" numFmtId="4" fontId="7" fillId="2" borderId="0" xfId="0" applyAlignment="1" applyFont="1" applyNumberFormat="1">
      <alignment horizontal="center" vertical="center"/>
    </xf>
    <xf xxid="36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8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13.8515625" customWidth="1"/>
    <col min="2" max="2" width="8.7109375" customWidth="1"/>
    <col min="3" max="3" width="9.56640625" customWidth="1"/>
    <col min="4" max="4" width="12.56640625" customWidth="1"/>
    <col min="5" max="5" width="40.8515625" customWidth="1"/>
    <col min="6" max="6" width="37.8515625" customWidth="1"/>
    <col min="7" max="8" width="39.13671875" customWidth="1"/>
  </cols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2:8">
      <c r="B12" s="1"/>
      <c r="C12" s="1"/>
      <c r="D12" s="1"/>
      <c r="E12" s="2"/>
      <c r="F12" s="3"/>
      <c r="G12" s="3"/>
      <c r="H12" s="3"/>
    </row>
    <row r="13" spans="1:8" ht="13.3" customHeight="1">
      <c r="A13" s="12" t="s">
        <v>0</v>
      </c>
      <c r="B13" s="13" t="s">
        <v>1</v>
      </c>
      <c r="C13" s="13" t="s">
        <v>2</v>
      </c>
      <c r="D13" s="13" t="s">
        <v>3</v>
      </c>
      <c r="E13" s="14" t="s">
        <v>4</v>
      </c>
      <c r="F13" s="15" t="s">
        <v>5</v>
      </c>
      <c r="G13" s="15" t="s">
        <v>6</v>
      </c>
      <c r="H13" s="15" t="s">
        <v>7</v>
      </c>
    </row>
    <row r="14" spans="1:8">
      <c r="A14" t="s">
        <v>8</v>
      </c>
      <c r="B14" s="1">
        <v>834</v>
      </c>
      <c r="C14" s="1">
        <v>1814</v>
      </c>
      <c r="D14" s="1">
        <v>836</v>
      </c>
      <c r="E14" s="2">
        <v>2.18</v>
      </c>
      <c r="F14" s="3">
        <v>0.33320015980823015</v>
      </c>
      <c r="G14" s="3">
        <v>0.31520417028670722</v>
      </c>
      <c r="H14" s="3">
        <v>0.33359936153232245</v>
      </c>
    </row>
    <row r="15" spans="1:8">
      <c r="A15" t="s">
        <v>9</v>
      </c>
      <c r="B15" s="1">
        <v>1669</v>
      </c>
      <c r="C15" s="1">
        <v>3941</v>
      </c>
      <c r="D15" s="1">
        <v>1670</v>
      </c>
      <c r="E15" s="2">
        <v>2.36</v>
      </c>
      <c r="F15" s="3">
        <v>0.66679984019176985</v>
      </c>
      <c r="G15" s="3">
        <v>0.68479582971329278</v>
      </c>
      <c r="H15" s="3">
        <v>0.66640063846767761</v>
      </c>
    </row>
    <row r="17" spans="1:8">
      <c r="A17" s="4" t="s">
        <v>10</v>
      </c>
      <c r="B17" s="5">
        <f ca="1">SUBTOTAL(109,B14:B15)</f>
        <v>0</v>
      </c>
      <c r="C17" s="5">
        <f ca="1">SUBTOTAL(109,C14:C15)</f>
        <v>0</v>
      </c>
      <c r="D17" s="5">
        <f ca="1">SUBTOTAL(109,D14:D15)</f>
        <v>0</v>
      </c>
      <c r="E17" s="6">
        <f ca="1">IFERROR(C17/B17, 0)</f>
        <v>0</v>
      </c>
      <c r="F17" s="7">
        <f ca="1">SUBTOTAL(109,F14:F15)</f>
        <v>0</v>
      </c>
      <c r="G17" s="7">
        <f ca="1">SUBTOTAL(109,G14:G15)</f>
        <v>0</v>
      </c>
      <c r="H17" s="7">
        <f ca="1">SUBTOTAL(109,H14:H15)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